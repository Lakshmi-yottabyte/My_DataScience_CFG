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867730b10e12e/Desktop/Lakshmi/Data science/Material/Assessments/Assignment3/"/>
    </mc:Choice>
  </mc:AlternateContent>
  <xr:revisionPtr revIDLastSave="0" documentId="8_{3C4E6DF3-2584-4697-B292-3951949EFFD6}" xr6:coauthVersionLast="47" xr6:coauthVersionMax="47" xr10:uidLastSave="{00000000-0000-0000-0000-000000000000}"/>
  <bookViews>
    <workbookView xWindow="43875" yWindow="3660" windowWidth="10035" windowHeight="7275" xr2:uid="{0EE98B3A-2C51-4001-803F-C088DA0BBD9A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2" l="1"/>
  <c r="Z5" i="2"/>
  <c r="Z6" i="2"/>
  <c r="Z7" i="2"/>
  <c r="Z8" i="2"/>
  <c r="Z9" i="2"/>
  <c r="Z10" i="2"/>
  <c r="Z3" i="2"/>
  <c r="Y10" i="2"/>
  <c r="Y9" i="2"/>
  <c r="Y8" i="2"/>
  <c r="Y7" i="2"/>
  <c r="Y6" i="2"/>
  <c r="Y5" i="2"/>
  <c r="Y4" i="2"/>
  <c r="Y3" i="2"/>
  <c r="O4" i="2"/>
  <c r="N4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" i="2"/>
</calcChain>
</file>

<file path=xl/sharedStrings.xml><?xml version="1.0" encoding="utf-8"?>
<sst xmlns="http://schemas.openxmlformats.org/spreadsheetml/2006/main" count="162" uniqueCount="122">
  <si>
    <t>Customer</t>
  </si>
  <si>
    <t>First name</t>
  </si>
  <si>
    <t>Varchar</t>
  </si>
  <si>
    <t>Last name</t>
  </si>
  <si>
    <t>Email</t>
  </si>
  <si>
    <t>Account creation date</t>
  </si>
  <si>
    <t>Date</t>
  </si>
  <si>
    <t>Menu items</t>
  </si>
  <si>
    <t>varchar</t>
  </si>
  <si>
    <t>Description</t>
  </si>
  <si>
    <t>Price</t>
  </si>
  <si>
    <t>decimal</t>
  </si>
  <si>
    <t>item availability</t>
  </si>
  <si>
    <t>Bollean</t>
  </si>
  <si>
    <t>Orders</t>
  </si>
  <si>
    <t>Order date</t>
  </si>
  <si>
    <t>Order items</t>
  </si>
  <si>
    <t>integer</t>
  </si>
  <si>
    <t>Quantity</t>
  </si>
  <si>
    <t>item name</t>
  </si>
  <si>
    <t>Customer ID (PRIMARY KEY)</t>
  </si>
  <si>
    <t>customer ID (FORIEGN KEY)</t>
  </si>
  <si>
    <t>Order ID (PRIMARY KEY)</t>
  </si>
  <si>
    <t>item ID (PRIMARY KEY)</t>
  </si>
  <si>
    <t>Order ID (FOREIGN KEY)</t>
  </si>
  <si>
    <t>Menu_item ID (PRIMARY KEY)</t>
  </si>
  <si>
    <t>menu _ID (FOREIGN KEY)</t>
  </si>
  <si>
    <t>Members</t>
  </si>
  <si>
    <t>Trainers</t>
  </si>
  <si>
    <t>Sessions</t>
  </si>
  <si>
    <t>Memberships</t>
  </si>
  <si>
    <t>Evan</t>
  </si>
  <si>
    <t>Fred</t>
  </si>
  <si>
    <t>Jess</t>
  </si>
  <si>
    <t>Jon</t>
  </si>
  <si>
    <t>Off-peak per month</t>
  </si>
  <si>
    <t>Basic per month</t>
  </si>
  <si>
    <t>Plus month</t>
  </si>
  <si>
    <t>popular membership</t>
  </si>
  <si>
    <t>membership status</t>
  </si>
  <si>
    <t>Core</t>
  </si>
  <si>
    <t>Ride</t>
  </si>
  <si>
    <t>Strength</t>
  </si>
  <si>
    <t>lift</t>
  </si>
  <si>
    <t>Member_ID (FOREIGN KEY)</t>
  </si>
  <si>
    <t>Trainer_ID (FOREIGN KEY)</t>
  </si>
  <si>
    <t>Membership_type (PRIMARY KEY)</t>
  </si>
  <si>
    <t>select session name, count(session-ID) from  session  table  group by session_ID ascd, limit 1</t>
  </si>
  <si>
    <t>Member_ID (PRIMARY KEY)</t>
  </si>
  <si>
    <t>joining_date</t>
  </si>
  <si>
    <t>First_name</t>
  </si>
  <si>
    <t>Last_name</t>
  </si>
  <si>
    <t>trainer_ID (PRIMARY KEY)</t>
  </si>
  <si>
    <t>select session name from  session  table where sesssion ID=max(  group by session_ID)</t>
  </si>
  <si>
    <t>select memership type from memebeship table where memebership ID=max(selct membership Id from memebership table group by memebershipID</t>
  </si>
  <si>
    <t>today() &gt;joining date + membership length, memership expired</t>
  </si>
  <si>
    <t>select trainer_id,  count(trainier_Id)* trainers.rate from session table</t>
  </si>
  <si>
    <t>Alan</t>
  </si>
  <si>
    <t>Henk</t>
  </si>
  <si>
    <t>Tony</t>
  </si>
  <si>
    <t>Chris</t>
  </si>
  <si>
    <t>Tania</t>
  </si>
  <si>
    <t>Eliz</t>
  </si>
  <si>
    <t>Rita</t>
  </si>
  <si>
    <t>Steve</t>
  </si>
  <si>
    <t>Ed</t>
  </si>
  <si>
    <t>Tina</t>
  </si>
  <si>
    <t>Michelle</t>
  </si>
  <si>
    <t>Nicola</t>
  </si>
  <si>
    <t>Rob</t>
  </si>
  <si>
    <t>body pump</t>
  </si>
  <si>
    <t>pilates</t>
  </si>
  <si>
    <t>HIIT</t>
  </si>
  <si>
    <t>GRIT</t>
  </si>
  <si>
    <t>NOT NULL integer</t>
  </si>
  <si>
    <t>total number of memebers</t>
  </si>
  <si>
    <t>age</t>
  </si>
  <si>
    <t xml:space="preserve"> NOT NULL integer</t>
  </si>
  <si>
    <t xml:space="preserve"> NOT NULL Varchar</t>
  </si>
  <si>
    <t>UNIQUE integer</t>
  </si>
  <si>
    <t>rate_per_hour</t>
  </si>
  <si>
    <t>UNIQUE, Varchar</t>
  </si>
  <si>
    <t>Session_name (PRIMARY KEY)</t>
  </si>
  <si>
    <t>popular month</t>
  </si>
  <si>
    <t>averege age group</t>
  </si>
  <si>
    <t>Bronze</t>
  </si>
  <si>
    <t>Silver</t>
  </si>
  <si>
    <t>Gold</t>
  </si>
  <si>
    <t>Most popular session</t>
  </si>
  <si>
    <t>MembershipsTypes</t>
  </si>
  <si>
    <t>Memebrship price</t>
  </si>
  <si>
    <t>membership_type (FOREIGN KEY)</t>
  </si>
  <si>
    <t>membership_id (PRIMARY KEY)</t>
  </si>
  <si>
    <t>Integer</t>
  </si>
  <si>
    <t>group by membership type and times by membership price</t>
  </si>
  <si>
    <t>Revenue to fitness center per month</t>
  </si>
  <si>
    <t>type of membership registered each month</t>
  </si>
  <si>
    <t>Revenue to fitness center per membership_type</t>
  </si>
  <si>
    <t>popular session</t>
  </si>
  <si>
    <t>no of registrations each month</t>
  </si>
  <si>
    <t>session_id</t>
  </si>
  <si>
    <t>trainer_id</t>
  </si>
  <si>
    <t>memebr_id</t>
  </si>
  <si>
    <t>trainer_rate</t>
  </si>
  <si>
    <t>Elie</t>
  </si>
  <si>
    <t>Josh</t>
  </si>
  <si>
    <t>elie@example.com</t>
  </si>
  <si>
    <t>Fox</t>
  </si>
  <si>
    <t>fred@example.com</t>
  </si>
  <si>
    <t>Roy</t>
  </si>
  <si>
    <t>jess@example.com</t>
  </si>
  <si>
    <t>Felix</t>
  </si>
  <si>
    <t>jon@example.com</t>
  </si>
  <si>
    <t>Brown</t>
  </si>
  <si>
    <t>steve@example.com</t>
  </si>
  <si>
    <t>Bass</t>
  </si>
  <si>
    <t>tina@example.com</t>
  </si>
  <si>
    <t>Bush</t>
  </si>
  <si>
    <t>michelle@example.com</t>
  </si>
  <si>
    <t>Box</t>
  </si>
  <si>
    <t>rob@example.com</t>
  </si>
  <si>
    <t>Income per 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</si>
</sst>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4" xfId="0" applyBorder="1"/>
    <xf numFmtId="8" fontId="0" fillId="0" borderId="0" xfId="0" applyNumberFormat="1"/>
    <xf numFmtId="0" fontId="0" fillId="0" borderId="0" xfId="0" applyAlignment="1">
      <alignment horizontal="center"/>
    </xf>
    <xf numFmtId="0" fontId="0" fillId="0" borderId="9" xfId="0" applyBorder="1"/>
    <xf numFmtId="0" fontId="0" fillId="2" borderId="0" xfId="0" applyFill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77A2-FEE0-4AB2-9C21-9432A6F20ACC}">
  <dimension ref="B2:Q44"/>
  <sheetViews>
    <sheetView tabSelected="1" topLeftCell="K37" workbookViewId="0">
      <selection activeCell="M42" sqref="M42:N44"/>
    </sheetView>
  </sheetViews>
  <sheetFormatPr defaultRowHeight="14.5" x14ac:dyDescent="0.35"/>
  <cols>
    <col min="2" max="2" width="23.453125" bestFit="1" customWidth="1"/>
    <col min="5" max="5" width="24.36328125" bestFit="1" customWidth="1"/>
    <col min="8" max="8" width="40.1796875" customWidth="1"/>
    <col min="9" max="9" width="18.36328125" customWidth="1"/>
    <col min="10" max="10" width="7.1796875" customWidth="1"/>
    <col min="13" max="13" width="29.54296875" customWidth="1"/>
    <col min="14" max="14" width="16.90625" customWidth="1"/>
  </cols>
  <sheetData>
    <row r="2" spans="2:17" ht="15" thickBot="1" x14ac:dyDescent="0.4"/>
    <row r="3" spans="2:17" ht="15" thickBot="1" x14ac:dyDescent="0.4">
      <c r="B3" s="7" t="s">
        <v>0</v>
      </c>
      <c r="C3" s="8"/>
      <c r="E3" s="7" t="s">
        <v>7</v>
      </c>
      <c r="F3" s="8"/>
      <c r="H3" s="7" t="s">
        <v>27</v>
      </c>
      <c r="I3" s="8"/>
      <c r="J3" s="4"/>
      <c r="M3" s="7" t="s">
        <v>28</v>
      </c>
      <c r="N3" s="8"/>
    </row>
    <row r="4" spans="2:17" x14ac:dyDescent="0.35">
      <c r="B4" s="1" t="s">
        <v>20</v>
      </c>
      <c r="C4" s="1" t="s">
        <v>17</v>
      </c>
      <c r="E4" s="2" t="s">
        <v>25</v>
      </c>
      <c r="F4" s="2" t="s">
        <v>17</v>
      </c>
      <c r="H4" s="1" t="s">
        <v>48</v>
      </c>
      <c r="I4" s="1" t="s">
        <v>74</v>
      </c>
      <c r="M4" s="1" t="s">
        <v>52</v>
      </c>
      <c r="N4" s="1" t="s">
        <v>79</v>
      </c>
      <c r="P4" t="s">
        <v>31</v>
      </c>
      <c r="Q4" t="s">
        <v>65</v>
      </c>
    </row>
    <row r="5" spans="2:17" x14ac:dyDescent="0.35">
      <c r="B5" s="2" t="s">
        <v>1</v>
      </c>
      <c r="C5" s="2" t="s">
        <v>2</v>
      </c>
      <c r="E5" s="1" t="s">
        <v>19</v>
      </c>
      <c r="F5" s="1" t="s">
        <v>8</v>
      </c>
      <c r="H5" s="2" t="s">
        <v>50</v>
      </c>
      <c r="I5" s="2" t="s">
        <v>78</v>
      </c>
      <c r="J5" s="5" t="s">
        <v>57</v>
      </c>
      <c r="K5" s="5" t="s">
        <v>60</v>
      </c>
      <c r="L5" s="5"/>
      <c r="M5" s="2" t="s">
        <v>50</v>
      </c>
      <c r="N5" s="2" t="s">
        <v>2</v>
      </c>
      <c r="P5" t="s">
        <v>32</v>
      </c>
      <c r="Q5" t="s">
        <v>66</v>
      </c>
    </row>
    <row r="6" spans="2:17" x14ac:dyDescent="0.35">
      <c r="B6" s="1" t="s">
        <v>3</v>
      </c>
      <c r="C6" s="1" t="s">
        <v>2</v>
      </c>
      <c r="E6" s="1" t="s">
        <v>9</v>
      </c>
      <c r="F6" s="1" t="s">
        <v>8</v>
      </c>
      <c r="H6" s="1" t="s">
        <v>51</v>
      </c>
      <c r="I6" s="1" t="s">
        <v>2</v>
      </c>
      <c r="J6" s="5" t="s">
        <v>58</v>
      </c>
      <c r="K6" s="5" t="s">
        <v>61</v>
      </c>
      <c r="L6" s="5"/>
      <c r="M6" s="1" t="s">
        <v>51</v>
      </c>
      <c r="N6" s="1" t="s">
        <v>2</v>
      </c>
      <c r="P6" t="s">
        <v>33</v>
      </c>
      <c r="Q6" t="s">
        <v>67</v>
      </c>
    </row>
    <row r="7" spans="2:17" x14ac:dyDescent="0.35">
      <c r="B7" s="1" t="s">
        <v>4</v>
      </c>
      <c r="C7" s="1" t="s">
        <v>2</v>
      </c>
      <c r="E7" s="1" t="s">
        <v>10</v>
      </c>
      <c r="F7" s="1" t="s">
        <v>11</v>
      </c>
      <c r="H7" s="1" t="s">
        <v>4</v>
      </c>
      <c r="I7" s="1" t="s">
        <v>2</v>
      </c>
      <c r="J7" s="5" t="s">
        <v>59</v>
      </c>
      <c r="K7" s="5" t="s">
        <v>62</v>
      </c>
      <c r="L7" s="5"/>
      <c r="M7" s="1" t="s">
        <v>4</v>
      </c>
      <c r="N7" s="1" t="s">
        <v>2</v>
      </c>
      <c r="P7" t="s">
        <v>34</v>
      </c>
      <c r="Q7" t="s">
        <v>68</v>
      </c>
    </row>
    <row r="8" spans="2:17" x14ac:dyDescent="0.35">
      <c r="B8" s="1" t="s">
        <v>5</v>
      </c>
      <c r="C8" s="1" t="s">
        <v>6</v>
      </c>
      <c r="E8" s="1" t="s">
        <v>12</v>
      </c>
      <c r="F8" s="1" t="s">
        <v>13</v>
      </c>
      <c r="H8" s="1" t="s">
        <v>49</v>
      </c>
      <c r="I8" s="1" t="s">
        <v>6</v>
      </c>
      <c r="J8" s="5" t="s">
        <v>31</v>
      </c>
      <c r="K8" s="5" t="s">
        <v>63</v>
      </c>
      <c r="L8" s="5"/>
      <c r="M8" s="1" t="s">
        <v>80</v>
      </c>
      <c r="N8" s="1" t="s">
        <v>17</v>
      </c>
      <c r="P8" t="s">
        <v>64</v>
      </c>
      <c r="Q8" t="s">
        <v>69</v>
      </c>
    </row>
    <row r="9" spans="2:17" x14ac:dyDescent="0.35">
      <c r="H9" s="1" t="s">
        <v>76</v>
      </c>
      <c r="I9" s="1" t="s">
        <v>77</v>
      </c>
    </row>
    <row r="10" spans="2:17" ht="15" thickBot="1" x14ac:dyDescent="0.4"/>
    <row r="11" spans="2:17" ht="15" thickBot="1" x14ac:dyDescent="0.4">
      <c r="B11" s="7" t="s">
        <v>14</v>
      </c>
      <c r="C11" s="8"/>
      <c r="E11" s="7" t="s">
        <v>16</v>
      </c>
      <c r="F11" s="8"/>
      <c r="H11" s="11" t="s">
        <v>29</v>
      </c>
      <c r="I11" s="12"/>
      <c r="J11" t="s">
        <v>40</v>
      </c>
      <c r="K11" t="s">
        <v>70</v>
      </c>
    </row>
    <row r="12" spans="2:17" x14ac:dyDescent="0.35">
      <c r="B12" s="2" t="s">
        <v>22</v>
      </c>
      <c r="C12" s="2" t="s">
        <v>17</v>
      </c>
      <c r="E12" s="1" t="s">
        <v>23</v>
      </c>
      <c r="F12" s="1" t="s">
        <v>17</v>
      </c>
      <c r="H12" s="2" t="s">
        <v>82</v>
      </c>
      <c r="I12" s="1" t="s">
        <v>2</v>
      </c>
      <c r="J12" t="s">
        <v>41</v>
      </c>
      <c r="K12" t="s">
        <v>71</v>
      </c>
    </row>
    <row r="13" spans="2:17" x14ac:dyDescent="0.35">
      <c r="B13" s="1" t="s">
        <v>21</v>
      </c>
      <c r="C13" s="1" t="s">
        <v>17</v>
      </c>
      <c r="E13" s="2" t="s">
        <v>24</v>
      </c>
      <c r="F13" s="2" t="s">
        <v>17</v>
      </c>
      <c r="H13" s="1" t="s">
        <v>45</v>
      </c>
      <c r="I13" s="1" t="s">
        <v>17</v>
      </c>
      <c r="J13" t="s">
        <v>42</v>
      </c>
      <c r="K13" t="s">
        <v>72</v>
      </c>
    </row>
    <row r="14" spans="2:17" x14ac:dyDescent="0.35">
      <c r="B14" s="1" t="s">
        <v>15</v>
      </c>
      <c r="C14" s="1" t="s">
        <v>6</v>
      </c>
      <c r="E14" s="1" t="s">
        <v>18</v>
      </c>
      <c r="F14" s="1" t="s">
        <v>17</v>
      </c>
      <c r="H14" s="1" t="s">
        <v>44</v>
      </c>
      <c r="I14" s="1" t="s">
        <v>17</v>
      </c>
      <c r="J14" t="s">
        <v>43</v>
      </c>
      <c r="K14" t="s">
        <v>73</v>
      </c>
    </row>
    <row r="15" spans="2:17" x14ac:dyDescent="0.35">
      <c r="E15" t="s">
        <v>26</v>
      </c>
      <c r="F15" s="1" t="s">
        <v>17</v>
      </c>
    </row>
    <row r="16" spans="2:17" ht="15" thickBot="1" x14ac:dyDescent="0.4"/>
    <row r="17" spans="8:14" x14ac:dyDescent="0.35">
      <c r="H17" s="9" t="s">
        <v>89</v>
      </c>
      <c r="I17" s="10"/>
      <c r="M17" s="9" t="s">
        <v>30</v>
      </c>
      <c r="N17" s="10"/>
    </row>
    <row r="18" spans="8:14" x14ac:dyDescent="0.35">
      <c r="J18" s="3">
        <v>18.989999999999998</v>
      </c>
      <c r="K18" t="s">
        <v>85</v>
      </c>
      <c r="L18" t="s">
        <v>35</v>
      </c>
      <c r="M18" s="1" t="s">
        <v>92</v>
      </c>
      <c r="N18" s="1" t="s">
        <v>93</v>
      </c>
    </row>
    <row r="19" spans="8:14" x14ac:dyDescent="0.35">
      <c r="H19" s="1" t="s">
        <v>46</v>
      </c>
      <c r="I19" s="1" t="s">
        <v>81</v>
      </c>
      <c r="J19" s="3">
        <v>24.99</v>
      </c>
      <c r="K19" t="s">
        <v>86</v>
      </c>
      <c r="L19" t="s">
        <v>36</v>
      </c>
      <c r="M19" s="1" t="s">
        <v>91</v>
      </c>
      <c r="N19" s="1" t="s">
        <v>2</v>
      </c>
    </row>
    <row r="20" spans="8:14" x14ac:dyDescent="0.35">
      <c r="H20" s="1" t="s">
        <v>90</v>
      </c>
      <c r="I20" s="1" t="s">
        <v>11</v>
      </c>
      <c r="J20" s="3">
        <v>31.99</v>
      </c>
      <c r="K20" t="s">
        <v>87</v>
      </c>
      <c r="L20" t="s">
        <v>37</v>
      </c>
      <c r="M20" s="1" t="s">
        <v>44</v>
      </c>
      <c r="N20" s="1" t="s">
        <v>17</v>
      </c>
    </row>
    <row r="21" spans="8:14" x14ac:dyDescent="0.35">
      <c r="J21" s="3"/>
    </row>
    <row r="24" spans="8:14" x14ac:dyDescent="0.35">
      <c r="H24" s="6" t="s">
        <v>88</v>
      </c>
      <c r="I24" t="s">
        <v>47</v>
      </c>
    </row>
    <row r="25" spans="8:14" x14ac:dyDescent="0.35">
      <c r="I25" t="s">
        <v>53</v>
      </c>
    </row>
    <row r="26" spans="8:14" x14ac:dyDescent="0.35">
      <c r="H26" s="6" t="s">
        <v>121</v>
      </c>
      <c r="I26" t="s">
        <v>56</v>
      </c>
    </row>
    <row r="27" spans="8:14" x14ac:dyDescent="0.35">
      <c r="H27" s="6" t="s">
        <v>38</v>
      </c>
      <c r="I27" t="s">
        <v>54</v>
      </c>
    </row>
    <row r="28" spans="8:14" x14ac:dyDescent="0.35">
      <c r="H28" t="s">
        <v>39</v>
      </c>
      <c r="I28" t="s">
        <v>55</v>
      </c>
    </row>
    <row r="29" spans="8:14" x14ac:dyDescent="0.35">
      <c r="H29" s="6" t="s">
        <v>75</v>
      </c>
    </row>
    <row r="30" spans="8:14" x14ac:dyDescent="0.35">
      <c r="H30" s="6" t="s">
        <v>84</v>
      </c>
    </row>
    <row r="32" spans="8:14" x14ac:dyDescent="0.35">
      <c r="H32" s="6" t="s">
        <v>95</v>
      </c>
      <c r="I32" t="s">
        <v>94</v>
      </c>
    </row>
    <row r="33" spans="8:14" x14ac:dyDescent="0.35">
      <c r="H33" s="6" t="s">
        <v>97</v>
      </c>
    </row>
    <row r="36" spans="8:14" x14ac:dyDescent="0.35">
      <c r="H36" s="6" t="s">
        <v>98</v>
      </c>
    </row>
    <row r="38" spans="8:14" x14ac:dyDescent="0.35">
      <c r="H38" s="6" t="s">
        <v>96</v>
      </c>
    </row>
    <row r="42" spans="8:14" x14ac:dyDescent="0.35">
      <c r="H42" s="6" t="s">
        <v>99</v>
      </c>
      <c r="M42" t="s">
        <v>85</v>
      </c>
      <c r="N42">
        <v>113.94</v>
      </c>
    </row>
    <row r="43" spans="8:14" x14ac:dyDescent="0.35">
      <c r="H43" s="6" t="s">
        <v>83</v>
      </c>
      <c r="M43" t="s">
        <v>87</v>
      </c>
      <c r="N43">
        <v>159.96</v>
      </c>
    </row>
    <row r="44" spans="8:14" x14ac:dyDescent="0.35">
      <c r="M44" t="s">
        <v>86</v>
      </c>
      <c r="N44">
        <v>124.95</v>
      </c>
    </row>
  </sheetData>
  <mergeCells count="9">
    <mergeCell ref="M3:N3"/>
    <mergeCell ref="H17:I17"/>
    <mergeCell ref="H11:I11"/>
    <mergeCell ref="M17:N17"/>
    <mergeCell ref="B3:C3"/>
    <mergeCell ref="E3:F3"/>
    <mergeCell ref="B11:C11"/>
    <mergeCell ref="E11:F11"/>
    <mergeCell ref="H3:I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20B7-5066-40C0-BB83-B260216B7AD0}">
  <dimension ref="F2:Z31"/>
  <sheetViews>
    <sheetView workbookViewId="0">
      <selection activeCell="P20" sqref="P20"/>
    </sheetView>
  </sheetViews>
  <sheetFormatPr defaultRowHeight="14.5" x14ac:dyDescent="0.35"/>
  <sheetData>
    <row r="2" spans="6:26" x14ac:dyDescent="0.35">
      <c r="G2" t="s">
        <v>100</v>
      </c>
      <c r="H2" t="s">
        <v>101</v>
      </c>
      <c r="I2" t="s">
        <v>102</v>
      </c>
      <c r="K2" t="s">
        <v>103</v>
      </c>
    </row>
    <row r="3" spans="6:26" x14ac:dyDescent="0.35">
      <c r="F3">
        <v>1</v>
      </c>
      <c r="G3">
        <v>1</v>
      </c>
      <c r="H3">
        <v>1001</v>
      </c>
      <c r="I3">
        <v>1</v>
      </c>
      <c r="K3">
        <f>IF(H3=1001,$W$3,(IF( H3=1002, $W$4, IF(H3=1003, $W$5,(IF(H3=1004,$W$6,(IF(H3=1005,$W$7,(IF(H3=1006,$W$8,(IF(H3=1007,$W$9,(IF(H3=1008,$W$10))))))))))))))</f>
        <v>20</v>
      </c>
      <c r="S3">
        <v>1001</v>
      </c>
      <c r="T3" t="s">
        <v>104</v>
      </c>
      <c r="U3" t="s">
        <v>105</v>
      </c>
      <c r="V3" t="s">
        <v>106</v>
      </c>
      <c r="W3">
        <v>20</v>
      </c>
      <c r="Y3">
        <f>COUNTIF($H$3:$H$31,1001)</f>
        <v>4</v>
      </c>
      <c r="Z3">
        <f>W3*Y3</f>
        <v>80</v>
      </c>
    </row>
    <row r="4" spans="6:26" x14ac:dyDescent="0.35">
      <c r="F4">
        <v>2</v>
      </c>
      <c r="G4">
        <v>2</v>
      </c>
      <c r="H4">
        <v>1002</v>
      </c>
      <c r="I4">
        <v>2</v>
      </c>
      <c r="K4">
        <f t="shared" ref="K4:K31" si="0">IF(H4=1001,$W$3,(IF( H4=1002, $W$4, IF(H4=1003, $W$5,(IF(H4=1004,$W$6,(IF(H4=1005,$W$7,(IF(H4=1006,$W$8,(IF(H4=1007,$W$9,(IF(H4=1008,$W$10))))))))))))))</f>
        <v>30</v>
      </c>
      <c r="M4">
        <v>100</v>
      </c>
      <c r="N4">
        <f>COUNTIF(H3:H31,1001)</f>
        <v>4</v>
      </c>
      <c r="O4">
        <f>N4*W3</f>
        <v>80</v>
      </c>
      <c r="S4">
        <v>1002</v>
      </c>
      <c r="T4" t="s">
        <v>32</v>
      </c>
      <c r="U4" t="s">
        <v>107</v>
      </c>
      <c r="V4" t="s">
        <v>108</v>
      </c>
      <c r="W4">
        <v>30</v>
      </c>
      <c r="Y4">
        <f>COUNTIF($H$3:$H$31,1002)</f>
        <v>3</v>
      </c>
      <c r="Z4">
        <f t="shared" ref="Z4:Z10" si="1">W4*Y4</f>
        <v>90</v>
      </c>
    </row>
    <row r="5" spans="6:26" x14ac:dyDescent="0.35">
      <c r="F5">
        <v>3</v>
      </c>
      <c r="G5">
        <v>3</v>
      </c>
      <c r="H5">
        <v>1004</v>
      </c>
      <c r="I5">
        <v>4</v>
      </c>
      <c r="K5">
        <f t="shared" si="0"/>
        <v>40</v>
      </c>
      <c r="S5">
        <v>1003</v>
      </c>
      <c r="T5" t="s">
        <v>33</v>
      </c>
      <c r="U5" t="s">
        <v>109</v>
      </c>
      <c r="V5" t="s">
        <v>110</v>
      </c>
      <c r="W5">
        <v>25</v>
      </c>
      <c r="Y5">
        <f>COUNTIF($H$3:$H$31,1003)</f>
        <v>3</v>
      </c>
      <c r="Z5">
        <f t="shared" si="1"/>
        <v>75</v>
      </c>
    </row>
    <row r="6" spans="6:26" x14ac:dyDescent="0.35">
      <c r="F6">
        <v>4</v>
      </c>
      <c r="G6">
        <v>4</v>
      </c>
      <c r="H6">
        <v>1003</v>
      </c>
      <c r="I6">
        <v>3</v>
      </c>
      <c r="K6">
        <f t="shared" si="0"/>
        <v>25</v>
      </c>
      <c r="S6">
        <v>1004</v>
      </c>
      <c r="T6" t="s">
        <v>34</v>
      </c>
      <c r="U6" t="s">
        <v>111</v>
      </c>
      <c r="V6" t="s">
        <v>112</v>
      </c>
      <c r="W6">
        <v>40</v>
      </c>
      <c r="Y6">
        <f>COUNTIF($H$3:$H$31,1004)</f>
        <v>6</v>
      </c>
      <c r="Z6">
        <f t="shared" si="1"/>
        <v>240</v>
      </c>
    </row>
    <row r="7" spans="6:26" x14ac:dyDescent="0.35">
      <c r="F7">
        <v>5</v>
      </c>
      <c r="G7">
        <v>5</v>
      </c>
      <c r="H7">
        <v>1006</v>
      </c>
      <c r="I7">
        <v>5</v>
      </c>
      <c r="K7">
        <f t="shared" si="0"/>
        <v>18</v>
      </c>
      <c r="S7">
        <v>1005</v>
      </c>
      <c r="T7" t="s">
        <v>64</v>
      </c>
      <c r="U7" t="s">
        <v>113</v>
      </c>
      <c r="V7" t="s">
        <v>114</v>
      </c>
      <c r="W7">
        <v>35</v>
      </c>
      <c r="Y7">
        <f>COUNTIF($H$3:$H$31,1005)</f>
        <v>6</v>
      </c>
      <c r="Z7">
        <f t="shared" si="1"/>
        <v>210</v>
      </c>
    </row>
    <row r="8" spans="6:26" x14ac:dyDescent="0.35">
      <c r="F8">
        <v>6</v>
      </c>
      <c r="G8">
        <v>6</v>
      </c>
      <c r="H8">
        <v>1005</v>
      </c>
      <c r="I8">
        <v>6</v>
      </c>
      <c r="K8">
        <f t="shared" si="0"/>
        <v>35</v>
      </c>
      <c r="S8">
        <v>1006</v>
      </c>
      <c r="T8" t="s">
        <v>66</v>
      </c>
      <c r="U8" t="s">
        <v>115</v>
      </c>
      <c r="V8" t="s">
        <v>116</v>
      </c>
      <c r="W8">
        <v>18</v>
      </c>
      <c r="Y8">
        <f>COUNTIF($H$3:$H$31,1006)</f>
        <v>2</v>
      </c>
      <c r="Z8">
        <f t="shared" si="1"/>
        <v>36</v>
      </c>
    </row>
    <row r="9" spans="6:26" x14ac:dyDescent="0.35">
      <c r="F9">
        <v>7</v>
      </c>
      <c r="G9">
        <v>7</v>
      </c>
      <c r="H9">
        <v>1007</v>
      </c>
      <c r="I9">
        <v>7</v>
      </c>
      <c r="K9">
        <f t="shared" si="0"/>
        <v>28</v>
      </c>
      <c r="S9">
        <v>1007</v>
      </c>
      <c r="T9" t="s">
        <v>67</v>
      </c>
      <c r="U9" t="s">
        <v>117</v>
      </c>
      <c r="V9" t="s">
        <v>118</v>
      </c>
      <c r="W9">
        <v>28</v>
      </c>
      <c r="Y9">
        <f>COUNTIF($H$3:$H$31,1007)</f>
        <v>3</v>
      </c>
      <c r="Z9">
        <f t="shared" si="1"/>
        <v>84</v>
      </c>
    </row>
    <row r="10" spans="6:26" x14ac:dyDescent="0.35">
      <c r="F10">
        <v>8</v>
      </c>
      <c r="G10">
        <v>8</v>
      </c>
      <c r="H10">
        <v>1008</v>
      </c>
      <c r="I10">
        <v>8</v>
      </c>
      <c r="K10">
        <f t="shared" si="0"/>
        <v>50</v>
      </c>
      <c r="S10">
        <v>1008</v>
      </c>
      <c r="T10" t="s">
        <v>69</v>
      </c>
      <c r="U10" t="s">
        <v>119</v>
      </c>
      <c r="V10" t="s">
        <v>120</v>
      </c>
      <c r="W10">
        <v>50</v>
      </c>
      <c r="Y10">
        <f>COUNTIF($H$3:$H$31,1008)</f>
        <v>2</v>
      </c>
      <c r="Z10">
        <f t="shared" si="1"/>
        <v>100</v>
      </c>
    </row>
    <row r="11" spans="6:26" x14ac:dyDescent="0.35">
      <c r="F11">
        <v>9</v>
      </c>
      <c r="G11">
        <v>2</v>
      </c>
      <c r="H11">
        <v>1002</v>
      </c>
      <c r="I11">
        <v>11</v>
      </c>
      <c r="K11">
        <f t="shared" si="0"/>
        <v>30</v>
      </c>
    </row>
    <row r="12" spans="6:26" x14ac:dyDescent="0.35">
      <c r="F12">
        <v>10</v>
      </c>
      <c r="G12">
        <v>6</v>
      </c>
      <c r="H12">
        <v>1004</v>
      </c>
      <c r="I12">
        <v>8</v>
      </c>
      <c r="K12">
        <f t="shared" si="0"/>
        <v>40</v>
      </c>
    </row>
    <row r="13" spans="6:26" x14ac:dyDescent="0.35">
      <c r="F13">
        <v>11</v>
      </c>
      <c r="G13">
        <v>1</v>
      </c>
      <c r="H13">
        <v>1001</v>
      </c>
      <c r="I13">
        <v>4</v>
      </c>
      <c r="K13">
        <f t="shared" si="0"/>
        <v>20</v>
      </c>
    </row>
    <row r="14" spans="6:26" x14ac:dyDescent="0.35">
      <c r="F14">
        <v>12</v>
      </c>
      <c r="G14">
        <v>7</v>
      </c>
      <c r="H14">
        <v>1007</v>
      </c>
      <c r="I14">
        <v>2</v>
      </c>
      <c r="K14">
        <f t="shared" si="0"/>
        <v>28</v>
      </c>
    </row>
    <row r="15" spans="6:26" x14ac:dyDescent="0.35">
      <c r="F15">
        <v>13</v>
      </c>
      <c r="G15">
        <v>6</v>
      </c>
      <c r="H15">
        <v>1005</v>
      </c>
      <c r="I15">
        <v>12</v>
      </c>
      <c r="K15">
        <f t="shared" si="0"/>
        <v>35</v>
      </c>
    </row>
    <row r="16" spans="6:26" x14ac:dyDescent="0.35">
      <c r="F16">
        <v>14</v>
      </c>
      <c r="G16">
        <v>6</v>
      </c>
      <c r="H16">
        <v>1004</v>
      </c>
      <c r="I16">
        <v>11</v>
      </c>
      <c r="K16">
        <f t="shared" si="0"/>
        <v>40</v>
      </c>
    </row>
    <row r="17" spans="6:11" x14ac:dyDescent="0.35">
      <c r="F17">
        <v>15</v>
      </c>
      <c r="G17">
        <v>1</v>
      </c>
      <c r="H17">
        <v>1001</v>
      </c>
      <c r="I17">
        <v>8</v>
      </c>
      <c r="K17">
        <f t="shared" si="0"/>
        <v>20</v>
      </c>
    </row>
    <row r="18" spans="6:11" x14ac:dyDescent="0.35">
      <c r="F18">
        <v>16</v>
      </c>
      <c r="G18">
        <v>6</v>
      </c>
      <c r="H18">
        <v>1005</v>
      </c>
      <c r="I18">
        <v>8</v>
      </c>
      <c r="K18">
        <f t="shared" si="0"/>
        <v>35</v>
      </c>
    </row>
    <row r="19" spans="6:11" x14ac:dyDescent="0.35">
      <c r="F19">
        <v>17</v>
      </c>
      <c r="G19">
        <v>3</v>
      </c>
      <c r="H19">
        <v>1005</v>
      </c>
      <c r="I19">
        <v>13</v>
      </c>
      <c r="K19">
        <f t="shared" si="0"/>
        <v>35</v>
      </c>
    </row>
    <row r="20" spans="6:11" x14ac:dyDescent="0.35">
      <c r="F20">
        <v>18</v>
      </c>
      <c r="G20">
        <v>4</v>
      </c>
      <c r="H20">
        <v>1003</v>
      </c>
      <c r="I20">
        <v>13</v>
      </c>
      <c r="K20">
        <f t="shared" si="0"/>
        <v>25</v>
      </c>
    </row>
    <row r="21" spans="6:11" x14ac:dyDescent="0.35">
      <c r="F21">
        <v>19</v>
      </c>
      <c r="G21">
        <v>2</v>
      </c>
      <c r="H21">
        <v>1002</v>
      </c>
      <c r="I21">
        <v>10</v>
      </c>
      <c r="K21">
        <f t="shared" si="0"/>
        <v>30</v>
      </c>
    </row>
    <row r="22" spans="6:11" x14ac:dyDescent="0.35">
      <c r="F22">
        <v>20</v>
      </c>
      <c r="G22">
        <v>1</v>
      </c>
      <c r="H22">
        <v>1001</v>
      </c>
      <c r="I22">
        <v>10</v>
      </c>
      <c r="K22">
        <f t="shared" si="0"/>
        <v>20</v>
      </c>
    </row>
    <row r="23" spans="6:11" x14ac:dyDescent="0.35">
      <c r="F23">
        <v>21</v>
      </c>
      <c r="G23">
        <v>3</v>
      </c>
      <c r="H23">
        <v>1004</v>
      </c>
      <c r="I23">
        <v>12</v>
      </c>
      <c r="K23">
        <f t="shared" si="0"/>
        <v>40</v>
      </c>
    </row>
    <row r="24" spans="6:11" x14ac:dyDescent="0.35">
      <c r="F24">
        <v>22</v>
      </c>
      <c r="G24">
        <v>5</v>
      </c>
      <c r="H24">
        <v>1006</v>
      </c>
      <c r="I24">
        <v>12</v>
      </c>
      <c r="K24">
        <f t="shared" si="0"/>
        <v>18</v>
      </c>
    </row>
    <row r="25" spans="6:11" x14ac:dyDescent="0.35">
      <c r="F25">
        <v>23</v>
      </c>
      <c r="G25">
        <v>8</v>
      </c>
      <c r="H25">
        <v>1008</v>
      </c>
      <c r="I25">
        <v>9</v>
      </c>
      <c r="K25">
        <f t="shared" si="0"/>
        <v>50</v>
      </c>
    </row>
    <row r="26" spans="6:11" x14ac:dyDescent="0.35">
      <c r="F26">
        <v>24</v>
      </c>
      <c r="G26">
        <v>3</v>
      </c>
      <c r="H26">
        <v>1004</v>
      </c>
      <c r="I26">
        <v>6</v>
      </c>
      <c r="K26">
        <f t="shared" si="0"/>
        <v>40</v>
      </c>
    </row>
    <row r="27" spans="6:11" x14ac:dyDescent="0.35">
      <c r="F27">
        <v>25</v>
      </c>
      <c r="G27">
        <v>4</v>
      </c>
      <c r="H27">
        <v>1003</v>
      </c>
      <c r="I27">
        <v>6</v>
      </c>
      <c r="K27">
        <f t="shared" si="0"/>
        <v>25</v>
      </c>
    </row>
    <row r="28" spans="6:11" x14ac:dyDescent="0.35">
      <c r="F28">
        <v>26</v>
      </c>
      <c r="G28">
        <v>7</v>
      </c>
      <c r="H28">
        <v>1007</v>
      </c>
      <c r="I28">
        <v>12</v>
      </c>
      <c r="K28">
        <f t="shared" si="0"/>
        <v>28</v>
      </c>
    </row>
    <row r="29" spans="6:11" x14ac:dyDescent="0.35">
      <c r="F29">
        <v>27</v>
      </c>
      <c r="G29">
        <v>6</v>
      </c>
      <c r="H29">
        <v>1005</v>
      </c>
      <c r="I29">
        <v>3</v>
      </c>
      <c r="K29">
        <f t="shared" si="0"/>
        <v>35</v>
      </c>
    </row>
    <row r="30" spans="6:11" x14ac:dyDescent="0.35">
      <c r="F30">
        <v>28</v>
      </c>
      <c r="G30">
        <v>3</v>
      </c>
      <c r="H30">
        <v>1004</v>
      </c>
      <c r="I30">
        <v>1</v>
      </c>
      <c r="K30">
        <f t="shared" si="0"/>
        <v>40</v>
      </c>
    </row>
    <row r="31" spans="6:11" x14ac:dyDescent="0.35">
      <c r="F31">
        <v>29</v>
      </c>
      <c r="G31">
        <v>6</v>
      </c>
      <c r="H31">
        <v>1005</v>
      </c>
      <c r="I31">
        <v>14</v>
      </c>
      <c r="K3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radhakrishna kachiraju</dc:creator>
  <cp:lastModifiedBy>radhakrishna kachiraju</cp:lastModifiedBy>
  <dcterms:created xsi:type="dcterms:W3CDTF">2026-04-08T18:01:06Z</dcterms:created>
  <dcterms:modified xsi:type="dcterms:W3CDTF">2026-04-19T18:42:35Z</dcterms:modified>
</cp:coreProperties>
</file>